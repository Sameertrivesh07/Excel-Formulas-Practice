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impl\Downloads\"/>
    </mc:Choice>
  </mc:AlternateContent>
  <bookViews>
    <workbookView xWindow="-105" yWindow="-105" windowWidth="19425" windowHeight="11025" tabRatio="870" activeTab="4"/>
  </bookViews>
  <sheets>
    <sheet name="Vlookup" sheetId="1" r:id="rId1"/>
    <sheet name="Hlookup" sheetId="3" r:id="rId2"/>
    <sheet name="Xlookup" sheetId="2" r:id="rId3"/>
    <sheet name="Filter" sheetId="6" r:id="rId4"/>
    <sheet name="&amp; Formula" sheetId="7" r:id="rId5"/>
    <sheet name="Textjoin" sheetId="8" r:id="rId6"/>
    <sheet name="Sumif" sheetId="9" r:id="rId7"/>
    <sheet name="Sumifs" sheetId="10" r:id="rId8"/>
    <sheet name="Countif" sheetId="11" r:id="rId9"/>
    <sheet name="Countifs" sheetId="12" r:id="rId10"/>
  </sheets>
  <definedNames>
    <definedName name="_xlnm._FilterDatabase" localSheetId="4" hidden="1">'&amp; Formula'!$B$3:$D$11</definedName>
    <definedName name="abc">_xlfn.XLOOKUP(#REF!,#REF!,#REF!)</definedName>
    <definedName name="xyz">_xlfn.XLOOKUP(#REF!,#REF!,#REF!)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2" l="1"/>
  <c r="I4" i="11"/>
  <c r="I4" i="10"/>
  <c r="H25" i="9"/>
  <c r="H7" i="9"/>
  <c r="H4" i="9"/>
  <c r="E15" i="9"/>
  <c r="E5" i="8"/>
  <c r="E6" i="8"/>
  <c r="E7" i="8"/>
  <c r="E8" i="8"/>
  <c r="E9" i="8"/>
  <c r="E10" i="8"/>
  <c r="E11" i="8"/>
  <c r="E4" i="8"/>
  <c r="E11" i="7"/>
  <c r="E9" i="7"/>
  <c r="E8" i="7"/>
  <c r="E10" i="7"/>
  <c r="E7" i="7"/>
  <c r="E6" i="7"/>
  <c r="E5" i="7"/>
  <c r="E4" i="7"/>
  <c r="H7" i="6" a="1"/>
  <c r="H7" i="6" s="1"/>
  <c r="J31" i="2"/>
  <c r="J32" i="2"/>
  <c r="J33" i="2"/>
  <c r="J34" i="2"/>
  <c r="J30" i="2"/>
  <c r="J26" i="2"/>
  <c r="I4" i="2"/>
  <c r="J10" i="2"/>
  <c r="K10" i="2"/>
  <c r="L10" i="2"/>
  <c r="I10" i="2"/>
  <c r="I7" i="2"/>
  <c r="L5" i="3"/>
  <c r="L6" i="3"/>
  <c r="L7" i="3"/>
  <c r="L8" i="3"/>
  <c r="L4" i="3"/>
  <c r="I4" i="3"/>
  <c r="J10" i="1"/>
  <c r="K10" i="1"/>
  <c r="L10" i="1"/>
  <c r="I10" i="1"/>
  <c r="I7" i="1"/>
  <c r="I4" i="1"/>
  <c r="F28" i="6"/>
  <c r="E28" i="6"/>
  <c r="D28" i="6"/>
  <c r="C28" i="6"/>
  <c r="F30" i="2"/>
  <c r="E30" i="2"/>
  <c r="D30" i="2"/>
  <c r="C30" i="2"/>
  <c r="D8" i="3"/>
  <c r="E8" i="3"/>
  <c r="F8" i="3"/>
  <c r="C8" i="3"/>
  <c r="L7" i="6"/>
  <c r="K7" i="6"/>
  <c r="J7" i="6"/>
  <c r="I7" i="6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<sst xmlns="http://schemas.openxmlformats.org/spreadsheetml/2006/main" count="439" uniqueCount="95">
  <si>
    <t>Product ID</t>
  </si>
  <si>
    <t>Product Name</t>
  </si>
  <si>
    <t>HSN Code</t>
  </si>
  <si>
    <t>Seller Name</t>
  </si>
  <si>
    <t>Qty Sold</t>
  </si>
  <si>
    <t>HardDisk</t>
  </si>
  <si>
    <t>AP0101</t>
  </si>
  <si>
    <t>Ram Traders</t>
  </si>
  <si>
    <t>Microphone</t>
  </si>
  <si>
    <t>AP0102</t>
  </si>
  <si>
    <t xml:space="preserve">Rajesh </t>
  </si>
  <si>
    <t>Mobile Stand</t>
  </si>
  <si>
    <t>AP0103</t>
  </si>
  <si>
    <t>Shivam</t>
  </si>
  <si>
    <t>Laptop Stand</t>
  </si>
  <si>
    <t>AP0104</t>
  </si>
  <si>
    <t>Sethi</t>
  </si>
  <si>
    <t>Mic Holder</t>
  </si>
  <si>
    <t>AP0105</t>
  </si>
  <si>
    <t>Rahul</t>
  </si>
  <si>
    <t>Printer</t>
  </si>
  <si>
    <t>AP0106</t>
  </si>
  <si>
    <t>Aman</t>
  </si>
  <si>
    <t>Scanner</t>
  </si>
  <si>
    <t>Sohan</t>
  </si>
  <si>
    <t>Monitor</t>
  </si>
  <si>
    <t>AP0108</t>
  </si>
  <si>
    <t>Chandu</t>
  </si>
  <si>
    <t>Mouse</t>
  </si>
  <si>
    <t>AP0109</t>
  </si>
  <si>
    <t>Rohan</t>
  </si>
  <si>
    <t>Keyboard</t>
  </si>
  <si>
    <t>AP0110</t>
  </si>
  <si>
    <t>Sonu</t>
  </si>
  <si>
    <t>AP0107</t>
  </si>
  <si>
    <t>Region</t>
  </si>
  <si>
    <t>East</t>
  </si>
  <si>
    <t>West</t>
  </si>
  <si>
    <t>North</t>
  </si>
  <si>
    <t>South</t>
  </si>
  <si>
    <t>Q1 Sales</t>
  </si>
  <si>
    <t>Q2 Sales</t>
  </si>
  <si>
    <t>Q3 Sales</t>
  </si>
  <si>
    <t>Q4 Sales</t>
  </si>
  <si>
    <t>Total</t>
  </si>
  <si>
    <t>north</t>
  </si>
  <si>
    <t>east</t>
  </si>
  <si>
    <t>First Name</t>
  </si>
  <si>
    <t>Middle name</t>
  </si>
  <si>
    <t>Last Name</t>
  </si>
  <si>
    <t>Raj</t>
  </si>
  <si>
    <t>Kumar</t>
  </si>
  <si>
    <t>Singh</t>
  </si>
  <si>
    <t>Rohit</t>
  </si>
  <si>
    <t>Sharma</t>
  </si>
  <si>
    <t>Suresh</t>
  </si>
  <si>
    <t>Anil</t>
  </si>
  <si>
    <t>Reena</t>
  </si>
  <si>
    <t>Kumari</t>
  </si>
  <si>
    <t>Anjali</t>
  </si>
  <si>
    <t>Rajpoot</t>
  </si>
  <si>
    <t>Deepak</t>
  </si>
  <si>
    <t>Nehra</t>
  </si>
  <si>
    <t>Neha</t>
  </si>
  <si>
    <t>Rathor</t>
  </si>
  <si>
    <t>Ram</t>
  </si>
  <si>
    <t>Tewatia</t>
  </si>
  <si>
    <t>Total Qty Sold</t>
  </si>
  <si>
    <t>Printer HP</t>
  </si>
  <si>
    <t>HP Scanner</t>
  </si>
  <si>
    <t>HCL Monitor</t>
  </si>
  <si>
    <t>Mouse HP</t>
  </si>
  <si>
    <t>HCL Printer</t>
  </si>
  <si>
    <t>Monitor 32" HCL</t>
  </si>
  <si>
    <t>Mouse HP PS2</t>
  </si>
  <si>
    <t>ABC Ltd</t>
  </si>
  <si>
    <t>Total Records</t>
  </si>
  <si>
    <t>Gender</t>
  </si>
  <si>
    <t>Male</t>
  </si>
  <si>
    <t>Female</t>
  </si>
  <si>
    <t>west</t>
  </si>
  <si>
    <t>fgh</t>
  </si>
  <si>
    <t>mouse</t>
  </si>
  <si>
    <t>scanner</t>
  </si>
  <si>
    <t>*mouse*</t>
  </si>
  <si>
    <t>Vlookup</t>
  </si>
  <si>
    <t>Hlookup</t>
  </si>
  <si>
    <t>Xlookup</t>
  </si>
  <si>
    <t>Filter</t>
  </si>
  <si>
    <t>&amp; Formula</t>
  </si>
  <si>
    <t>Textjoin</t>
  </si>
  <si>
    <t>Sumif</t>
  </si>
  <si>
    <t>Sumifs</t>
  </si>
  <si>
    <t>Countif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</si>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</sst>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0" borderId="1" xfId="0" applyFont="1" applyFill="1" applyBorder="1" applyAlignment="1">
      <alignment horizontal="center"/>
    </xf>
    <xf numFmtId="0" fontId="0" fillId="0" borderId="1" xfId="0" applyFill="1" applyBorder="1"/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3"/>
  <sheetViews>
    <sheetView zoomScaleNormal="100" workbookViewId="0">
      <selection activeCell="H4" sqref="H4"/>
    </sheetView>
  </sheetViews>
  <sheetFormatPr defaultRowHeight="18.75" x14ac:dyDescent="0.3"/>
  <cols>
    <col min="1" max="1" width="2.5" customWidth="1"/>
    <col min="2" max="2" width="10.8984375" customWidth="1"/>
    <col min="3" max="3" width="13.8984375" customWidth="1"/>
    <col min="4" max="4" width="10" customWidth="1"/>
    <col min="5" max="5" width="12.3984375" customWidth="1"/>
    <col min="6" max="6" width="8" customWidth="1"/>
    <col min="7" max="7" width="3.3984375" customWidth="1"/>
    <col min="8" max="8" width="10.09765625" customWidth="1"/>
    <col min="9" max="9" width="16.3984375" customWidth="1"/>
    <col min="10" max="10" width="9.59765625" customWidth="1"/>
    <col min="11" max="11" width="13.59765625" customWidth="1"/>
  </cols>
  <sheetData>
    <row r="1" spans="2:12" ht="19.5" thickBot="1" x14ac:dyDescent="0.35"/>
    <row r="2" spans="2:12" ht="19.5" thickBot="1" x14ac:dyDescent="0.35">
      <c r="B2" s="12" t="s">
        <v>85</v>
      </c>
      <c r="C2" s="13"/>
      <c r="D2" s="13"/>
      <c r="E2" s="13"/>
      <c r="F2" s="14"/>
    </row>
    <row r="3" spans="2:12" x14ac:dyDescent="0.3">
      <c r="B3" s="10" t="s">
        <v>0</v>
      </c>
      <c r="C3" s="11" t="s">
        <v>1</v>
      </c>
      <c r="D3" s="11" t="s">
        <v>2</v>
      </c>
      <c r="E3" s="11" t="s">
        <v>3</v>
      </c>
      <c r="F3" s="11" t="s">
        <v>4</v>
      </c>
      <c r="H3" s="1" t="s">
        <v>0</v>
      </c>
      <c r="I3" s="2" t="s">
        <v>4</v>
      </c>
    </row>
    <row r="4" spans="2:12" x14ac:dyDescent="0.3">
      <c r="B4" s="3">
        <v>101</v>
      </c>
      <c r="C4" s="4" t="s">
        <v>5</v>
      </c>
      <c r="D4" s="4" t="s">
        <v>6</v>
      </c>
      <c r="E4" s="4" t="s">
        <v>7</v>
      </c>
      <c r="F4" s="4">
        <v>23</v>
      </c>
      <c r="H4" s="4">
        <v>102</v>
      </c>
      <c r="I4" s="4">
        <f>VLOOKUP(H4,B3:F13,5,0)</f>
        <v>20</v>
      </c>
    </row>
    <row r="5" spans="2:12" x14ac:dyDescent="0.3">
      <c r="B5" s="3">
        <v>102</v>
      </c>
      <c r="C5" s="4" t="s">
        <v>8</v>
      </c>
      <c r="D5" s="4" t="s">
        <v>9</v>
      </c>
      <c r="E5" s="4" t="s">
        <v>10</v>
      </c>
      <c r="F5" s="4">
        <v>20</v>
      </c>
    </row>
    <row r="6" spans="2:12" x14ac:dyDescent="0.3">
      <c r="B6" s="3">
        <v>103</v>
      </c>
      <c r="C6" s="4" t="s">
        <v>11</v>
      </c>
      <c r="D6" s="4" t="s">
        <v>12</v>
      </c>
      <c r="E6" s="4" t="s">
        <v>13</v>
      </c>
      <c r="F6" s="4">
        <v>30</v>
      </c>
      <c r="H6" s="2" t="s">
        <v>2</v>
      </c>
      <c r="I6" s="2" t="s">
        <v>4</v>
      </c>
    </row>
    <row r="7" spans="2:12" x14ac:dyDescent="0.3">
      <c r="B7" s="3">
        <v>104</v>
      </c>
      <c r="C7" s="4" t="s">
        <v>14</v>
      </c>
      <c r="D7" s="4" t="s">
        <v>15</v>
      </c>
      <c r="E7" s="4" t="s">
        <v>16</v>
      </c>
      <c r="F7" s="4">
        <v>40</v>
      </c>
      <c r="H7" s="4" t="s">
        <v>18</v>
      </c>
      <c r="I7" s="4">
        <f>VLOOKUP(H7,D3:F13,3,0)</f>
        <v>34</v>
      </c>
    </row>
    <row r="8" spans="2:12" x14ac:dyDescent="0.3">
      <c r="B8" s="3">
        <v>105</v>
      </c>
      <c r="C8" s="4" t="s">
        <v>17</v>
      </c>
      <c r="D8" s="4" t="s">
        <v>18</v>
      </c>
      <c r="E8" s="4" t="s">
        <v>19</v>
      </c>
      <c r="F8" s="4">
        <v>34</v>
      </c>
    </row>
    <row r="9" spans="2:12" x14ac:dyDescent="0.3">
      <c r="B9" s="3">
        <v>106</v>
      </c>
      <c r="C9" s="4" t="s">
        <v>20</v>
      </c>
      <c r="D9" s="4" t="s">
        <v>21</v>
      </c>
      <c r="E9" s="4" t="s">
        <v>22</v>
      </c>
      <c r="F9" s="4">
        <v>54</v>
      </c>
      <c r="H9" s="1" t="s">
        <v>0</v>
      </c>
      <c r="I9" s="2" t="s">
        <v>1</v>
      </c>
      <c r="J9" s="2" t="s">
        <v>2</v>
      </c>
      <c r="K9" s="2" t="s">
        <v>3</v>
      </c>
      <c r="L9" s="2" t="s">
        <v>4</v>
      </c>
    </row>
    <row r="10" spans="2:12" x14ac:dyDescent="0.3">
      <c r="B10" s="3">
        <v>107</v>
      </c>
      <c r="C10" s="4" t="s">
        <v>23</v>
      </c>
      <c r="D10" s="4" t="s">
        <v>34</v>
      </c>
      <c r="E10" s="4" t="s">
        <v>24</v>
      </c>
      <c r="F10" s="4">
        <v>30</v>
      </c>
      <c r="H10" s="4">
        <v>105</v>
      </c>
      <c r="I10" s="4" t="str">
        <f>VLOOKUP($H$10,$B$3:$F$13,COLUMNS($H$9:I9),0)</f>
        <v>Mic Holder</v>
      </c>
      <c r="J10" s="4" t="str">
        <f>VLOOKUP($H$10,$B$3:$F$13,COLUMNS($H$9:J9),0)</f>
        <v>AP0105</v>
      </c>
      <c r="K10" s="4" t="str">
        <f>VLOOKUP($H$10,$B$3:$F$13,COLUMNS($H$9:K9),0)</f>
        <v>Rahul</v>
      </c>
      <c r="L10" s="4">
        <f>VLOOKUP($H$10,$B$3:$F$13,COLUMNS($H$9:L9),0)</f>
        <v>34</v>
      </c>
    </row>
    <row r="11" spans="2:12" x14ac:dyDescent="0.3">
      <c r="B11" s="3">
        <v>108</v>
      </c>
      <c r="C11" s="4" t="s">
        <v>25</v>
      </c>
      <c r="D11" s="4" t="s">
        <v>26</v>
      </c>
      <c r="E11" s="4" t="s">
        <v>27</v>
      </c>
      <c r="F11" s="4">
        <v>10</v>
      </c>
    </row>
    <row r="12" spans="2:12" x14ac:dyDescent="0.3">
      <c r="B12" s="3">
        <v>109</v>
      </c>
      <c r="C12" s="4" t="s">
        <v>28</v>
      </c>
      <c r="D12" s="4" t="s">
        <v>29</v>
      </c>
      <c r="E12" s="4" t="s">
        <v>30</v>
      </c>
      <c r="F12" s="4">
        <v>20</v>
      </c>
    </row>
    <row r="13" spans="2:12" x14ac:dyDescent="0.3">
      <c r="B13" s="3">
        <v>110</v>
      </c>
      <c r="C13" s="4" t="s">
        <v>31</v>
      </c>
      <c r="D13" s="4" t="s">
        <v>32</v>
      </c>
      <c r="E13" s="4" t="s">
        <v>33</v>
      </c>
      <c r="F13" s="4">
        <v>25</v>
      </c>
    </row>
  </sheetData>
  <mergeCells count="1">
    <mergeCell ref="B2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"/>
  <sheetViews>
    <sheetView topLeftCell="A7" zoomScale="115" zoomScaleNormal="115" workbookViewId="0">
      <selection activeCell="G8" sqref="G8"/>
    </sheetView>
  </sheetViews>
  <sheetFormatPr defaultRowHeight="18.75" x14ac:dyDescent="0.3"/>
  <cols>
    <col min="1" max="1" width="5.59765625" customWidth="1"/>
    <col min="7" max="7" width="4.19921875" customWidth="1"/>
    <col min="9" max="9" width="11.09765625" customWidth="1"/>
    <col min="10" max="10" width="3.09765625" customWidth="1"/>
    <col min="11" max="11" width="10.5" customWidth="1"/>
  </cols>
  <sheetData>
    <row r="1" spans="2:12" ht="19.5" thickBot="1" x14ac:dyDescent="0.35"/>
    <row r="2" spans="2:12" ht="19.5" thickBot="1" x14ac:dyDescent="0.35">
      <c r="B2" s="12" t="s">
        <v>86</v>
      </c>
      <c r="C2" s="13"/>
      <c r="D2" s="13"/>
      <c r="E2" s="13"/>
      <c r="F2" s="14"/>
    </row>
    <row r="3" spans="2:12" x14ac:dyDescent="0.3">
      <c r="B3" s="11" t="s">
        <v>35</v>
      </c>
      <c r="C3" s="15" t="s">
        <v>36</v>
      </c>
      <c r="D3" s="15" t="s">
        <v>37</v>
      </c>
      <c r="E3" s="15" t="s">
        <v>38</v>
      </c>
      <c r="F3" s="15" t="s">
        <v>39</v>
      </c>
      <c r="H3" s="2" t="s">
        <v>35</v>
      </c>
      <c r="I3" s="4" t="s">
        <v>81</v>
      </c>
      <c r="K3" s="2" t="s">
        <v>35</v>
      </c>
      <c r="L3" s="8" t="s">
        <v>46</v>
      </c>
    </row>
    <row r="4" spans="2:12" x14ac:dyDescent="0.3">
      <c r="B4" s="7" t="s">
        <v>40</v>
      </c>
      <c r="C4" s="5">
        <v>500</v>
      </c>
      <c r="D4" s="5">
        <v>350</v>
      </c>
      <c r="E4" s="5">
        <v>860</v>
      </c>
      <c r="F4" s="5">
        <v>350</v>
      </c>
      <c r="H4" s="7" t="s">
        <v>44</v>
      </c>
      <c r="I4" s="4" t="str">
        <f>IFERROR(HLOOKUP(I3,B3:F8,6,0),"Not Found")</f>
        <v>Not Found</v>
      </c>
      <c r="K4" s="7" t="s">
        <v>40</v>
      </c>
      <c r="L4" s="4">
        <f>HLOOKUP($L$3,$B$3:$F$8,ROWS($K$3:K4),0)</f>
        <v>500</v>
      </c>
    </row>
    <row r="5" spans="2:12" x14ac:dyDescent="0.3">
      <c r="B5" s="7" t="s">
        <v>41</v>
      </c>
      <c r="C5" s="5">
        <v>700</v>
      </c>
      <c r="D5" s="5">
        <v>400</v>
      </c>
      <c r="E5" s="5">
        <v>550</v>
      </c>
      <c r="F5" s="5">
        <v>990</v>
      </c>
      <c r="K5" s="7" t="s">
        <v>41</v>
      </c>
      <c r="L5" s="4">
        <f>HLOOKUP($L$3,$B$3:$F$8,ROWS($K$3:K5),0)</f>
        <v>700</v>
      </c>
    </row>
    <row r="6" spans="2:12" x14ac:dyDescent="0.3">
      <c r="B6" s="7" t="s">
        <v>42</v>
      </c>
      <c r="C6" s="5">
        <v>1100</v>
      </c>
      <c r="D6" s="5">
        <v>650</v>
      </c>
      <c r="E6" s="5">
        <v>770</v>
      </c>
      <c r="F6" s="5">
        <v>950</v>
      </c>
      <c r="K6" s="7" t="s">
        <v>42</v>
      </c>
      <c r="L6" s="4">
        <f>HLOOKUP($L$3,$B$3:$F$8,ROWS($K$3:K6),0)</f>
        <v>1100</v>
      </c>
    </row>
    <row r="7" spans="2:12" x14ac:dyDescent="0.3">
      <c r="B7" s="7" t="s">
        <v>43</v>
      </c>
      <c r="C7" s="5">
        <v>500</v>
      </c>
      <c r="D7" s="5">
        <v>400</v>
      </c>
      <c r="E7" s="5">
        <v>200</v>
      </c>
      <c r="F7" s="5">
        <v>600</v>
      </c>
      <c r="K7" s="7" t="s">
        <v>43</v>
      </c>
      <c r="L7" s="4">
        <f>HLOOKUP($L$3,$B$3:$F$8,ROWS($K$3:K7),0)</f>
        <v>500</v>
      </c>
    </row>
    <row r="8" spans="2:12" x14ac:dyDescent="0.3">
      <c r="B8" s="7" t="s">
        <v>44</v>
      </c>
      <c r="C8" s="5">
        <f>SUM(C4:C7)</f>
        <v>2800</v>
      </c>
      <c r="D8" s="5">
        <f t="shared" ref="D8:F8" si="0">SUM(D4:D7)</f>
        <v>1800</v>
      </c>
      <c r="E8" s="5">
        <f t="shared" si="0"/>
        <v>2380</v>
      </c>
      <c r="F8" s="5">
        <f t="shared" si="0"/>
        <v>2890</v>
      </c>
      <c r="K8" s="7" t="s">
        <v>44</v>
      </c>
      <c r="L8" s="4">
        <f>HLOOKUP($L$3,$B$3:$F$8,ROWS($K$3:K8),0)</f>
        <v>2800</v>
      </c>
    </row>
  </sheetData>
  <mergeCells count="1"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4"/>
  <sheetViews>
    <sheetView zoomScaleNormal="100" workbookViewId="0">
      <selection activeCell="B3" sqref="B3"/>
    </sheetView>
  </sheetViews>
  <sheetFormatPr defaultRowHeight="18.75" x14ac:dyDescent="0.3"/>
  <cols>
    <col min="1" max="1" width="2.5" customWidth="1"/>
    <col min="2" max="2" width="10.8984375" customWidth="1"/>
    <col min="3" max="3" width="13.8984375" customWidth="1"/>
    <col min="4" max="4" width="10" customWidth="1"/>
    <col min="5" max="5" width="12.3984375" customWidth="1"/>
    <col min="6" max="6" width="8" customWidth="1"/>
    <col min="7" max="7" width="3.3984375" customWidth="1"/>
    <col min="8" max="8" width="10.09765625" customWidth="1"/>
    <col min="9" max="9" width="16.3984375" customWidth="1"/>
    <col min="10" max="10" width="9.59765625" customWidth="1"/>
    <col min="11" max="11" width="13.59765625" customWidth="1"/>
  </cols>
  <sheetData>
    <row r="1" spans="2:12" ht="19.5" thickBot="1" x14ac:dyDescent="0.35"/>
    <row r="2" spans="2:12" ht="19.5" thickBot="1" x14ac:dyDescent="0.35">
      <c r="B2" s="12" t="s">
        <v>87</v>
      </c>
      <c r="C2" s="13"/>
      <c r="D2" s="13"/>
      <c r="E2" s="13"/>
      <c r="F2" s="14"/>
    </row>
    <row r="3" spans="2:12" x14ac:dyDescent="0.3">
      <c r="B3" s="10" t="s">
        <v>0</v>
      </c>
      <c r="C3" s="11" t="s">
        <v>1</v>
      </c>
      <c r="D3" s="11" t="s">
        <v>2</v>
      </c>
      <c r="E3" s="11" t="s">
        <v>3</v>
      </c>
      <c r="F3" s="11" t="s">
        <v>4</v>
      </c>
      <c r="H3" s="1" t="s">
        <v>0</v>
      </c>
      <c r="I3" s="2" t="s">
        <v>3</v>
      </c>
    </row>
    <row r="4" spans="2:12" x14ac:dyDescent="0.3">
      <c r="B4" s="3">
        <v>101</v>
      </c>
      <c r="C4" s="4" t="s">
        <v>5</v>
      </c>
      <c r="D4" s="4" t="s">
        <v>6</v>
      </c>
      <c r="E4" s="4" t="s">
        <v>7</v>
      </c>
      <c r="F4" s="4">
        <v>23</v>
      </c>
      <c r="H4" s="3">
        <v>102</v>
      </c>
      <c r="I4" s="4" t="str">
        <f>_xlfn.XLOOKUP(H4,B4:B13,E4:E13,"not found",,)</f>
        <v xml:space="preserve">Rajesh </v>
      </c>
    </row>
    <row r="5" spans="2:12" x14ac:dyDescent="0.3">
      <c r="B5" s="3">
        <v>102</v>
      </c>
      <c r="C5" s="4" t="s">
        <v>8</v>
      </c>
      <c r="D5" s="4" t="s">
        <v>9</v>
      </c>
      <c r="E5" s="4" t="s">
        <v>10</v>
      </c>
      <c r="F5" s="4">
        <v>20</v>
      </c>
    </row>
    <row r="6" spans="2:12" x14ac:dyDescent="0.3">
      <c r="B6" s="3">
        <v>103</v>
      </c>
      <c r="C6" s="4" t="s">
        <v>11</v>
      </c>
      <c r="D6" s="4" t="s">
        <v>12</v>
      </c>
      <c r="E6" s="4" t="s">
        <v>13</v>
      </c>
      <c r="F6" s="4">
        <v>30</v>
      </c>
      <c r="H6" s="2" t="s">
        <v>2</v>
      </c>
      <c r="I6" s="2" t="s">
        <v>1</v>
      </c>
    </row>
    <row r="7" spans="2:12" x14ac:dyDescent="0.3">
      <c r="B7" s="3">
        <v>104</v>
      </c>
      <c r="C7" s="4" t="s">
        <v>14</v>
      </c>
      <c r="D7" s="4" t="s">
        <v>15</v>
      </c>
      <c r="E7" s="4" t="s">
        <v>16</v>
      </c>
      <c r="F7" s="4">
        <v>40</v>
      </c>
      <c r="H7" s="4" t="s">
        <v>21</v>
      </c>
      <c r="I7" s="4" t="str">
        <f>_xlfn.XLOOKUP(H7,D4:D13,C4:C13)</f>
        <v>Printer</v>
      </c>
    </row>
    <row r="8" spans="2:12" x14ac:dyDescent="0.3">
      <c r="B8" s="3">
        <v>105</v>
      </c>
      <c r="C8" s="4" t="s">
        <v>17</v>
      </c>
      <c r="D8" s="4" t="s">
        <v>18</v>
      </c>
      <c r="E8" s="4" t="s">
        <v>19</v>
      </c>
      <c r="F8" s="4">
        <v>34</v>
      </c>
    </row>
    <row r="9" spans="2:12" x14ac:dyDescent="0.3">
      <c r="B9" s="3">
        <v>106</v>
      </c>
      <c r="C9" s="4" t="s">
        <v>20</v>
      </c>
      <c r="D9" s="4" t="s">
        <v>21</v>
      </c>
      <c r="E9" s="4" t="s">
        <v>22</v>
      </c>
      <c r="F9" s="4">
        <v>54</v>
      </c>
      <c r="H9" s="1" t="s">
        <v>0</v>
      </c>
      <c r="I9" s="2" t="s">
        <v>1</v>
      </c>
      <c r="J9" s="2" t="s">
        <v>2</v>
      </c>
      <c r="K9" s="2" t="s">
        <v>3</v>
      </c>
      <c r="L9" s="2" t="s">
        <v>4</v>
      </c>
    </row>
    <row r="10" spans="2:12" x14ac:dyDescent="0.3">
      <c r="B10" s="3">
        <v>107</v>
      </c>
      <c r="C10" s="4" t="s">
        <v>23</v>
      </c>
      <c r="D10" s="4" t="s">
        <v>34</v>
      </c>
      <c r="E10" s="4" t="s">
        <v>24</v>
      </c>
      <c r="F10" s="4">
        <v>30</v>
      </c>
      <c r="H10" s="3">
        <v>105</v>
      </c>
      <c r="I10" s="4" t="str">
        <f>_xlfn.XLOOKUP($H$10,$B$4:$B$13,C4:C13)</f>
        <v>Mic Holder</v>
      </c>
      <c r="J10" s="4" t="str">
        <f t="shared" ref="J10:L10" si="0">_xlfn.XLOOKUP($H$10,$B$4:$B$13,D4:D13)</f>
        <v>AP0105</v>
      </c>
      <c r="K10" s="4" t="str">
        <f t="shared" si="0"/>
        <v>Rahul</v>
      </c>
      <c r="L10" s="4">
        <f t="shared" si="0"/>
        <v>34</v>
      </c>
    </row>
    <row r="11" spans="2:12" x14ac:dyDescent="0.3">
      <c r="B11" s="3">
        <v>108</v>
      </c>
      <c r="C11" s="4" t="s">
        <v>25</v>
      </c>
      <c r="D11" s="4" t="s">
        <v>26</v>
      </c>
      <c r="E11" s="4" t="s">
        <v>27</v>
      </c>
      <c r="F11" s="4">
        <v>10</v>
      </c>
    </row>
    <row r="12" spans="2:12" x14ac:dyDescent="0.3">
      <c r="B12" s="3">
        <v>109</v>
      </c>
      <c r="C12" s="4" t="s">
        <v>28</v>
      </c>
      <c r="D12" s="4" t="s">
        <v>29</v>
      </c>
      <c r="E12" s="4" t="s">
        <v>30</v>
      </c>
      <c r="F12" s="4">
        <v>20</v>
      </c>
    </row>
    <row r="13" spans="2:12" x14ac:dyDescent="0.3">
      <c r="B13" s="3">
        <v>110</v>
      </c>
      <c r="C13" s="4" t="s">
        <v>31</v>
      </c>
      <c r="D13" s="4" t="s">
        <v>32</v>
      </c>
      <c r="E13" s="4" t="s">
        <v>33</v>
      </c>
      <c r="F13" s="4">
        <v>25</v>
      </c>
    </row>
    <row r="23" spans="2:10" ht="19.5" thickBot="1" x14ac:dyDescent="0.35"/>
    <row r="24" spans="2:10" ht="19.5" thickBot="1" x14ac:dyDescent="0.35">
      <c r="B24" s="12" t="s">
        <v>87</v>
      </c>
      <c r="C24" s="13"/>
      <c r="D24" s="13"/>
      <c r="E24" s="13"/>
      <c r="F24" s="14"/>
    </row>
    <row r="25" spans="2:10" x14ac:dyDescent="0.3">
      <c r="B25" s="11" t="s">
        <v>35</v>
      </c>
      <c r="C25" s="15" t="s">
        <v>36</v>
      </c>
      <c r="D25" s="15" t="s">
        <v>37</v>
      </c>
      <c r="E25" s="15" t="s">
        <v>38</v>
      </c>
      <c r="F25" s="15" t="s">
        <v>39</v>
      </c>
      <c r="I25" s="2" t="s">
        <v>35</v>
      </c>
      <c r="J25" s="9" t="s">
        <v>80</v>
      </c>
    </row>
    <row r="26" spans="2:10" x14ac:dyDescent="0.3">
      <c r="B26" s="7" t="s">
        <v>40</v>
      </c>
      <c r="C26" s="5">
        <v>500</v>
      </c>
      <c r="D26" s="5">
        <v>350</v>
      </c>
      <c r="E26" s="5">
        <v>860</v>
      </c>
      <c r="F26" s="5">
        <v>350</v>
      </c>
      <c r="I26" s="7" t="s">
        <v>44</v>
      </c>
      <c r="J26" s="9">
        <f>_xlfn.XLOOKUP(J25,B25:F25,B30:F30)</f>
        <v>1800</v>
      </c>
    </row>
    <row r="27" spans="2:10" x14ac:dyDescent="0.3">
      <c r="B27" s="7" t="s">
        <v>41</v>
      </c>
      <c r="C27" s="5">
        <v>700</v>
      </c>
      <c r="D27" s="5">
        <v>400</v>
      </c>
      <c r="E27" s="5">
        <v>550</v>
      </c>
      <c r="F27" s="5">
        <v>990</v>
      </c>
    </row>
    <row r="28" spans="2:10" x14ac:dyDescent="0.3">
      <c r="B28" s="7" t="s">
        <v>42</v>
      </c>
      <c r="C28" s="5">
        <v>1100</v>
      </c>
      <c r="D28" s="5">
        <v>650</v>
      </c>
      <c r="E28" s="5">
        <v>770</v>
      </c>
      <c r="F28" s="5">
        <v>950</v>
      </c>
    </row>
    <row r="29" spans="2:10" x14ac:dyDescent="0.3">
      <c r="B29" s="7" t="s">
        <v>43</v>
      </c>
      <c r="C29" s="5">
        <v>500</v>
      </c>
      <c r="D29" s="5">
        <v>400</v>
      </c>
      <c r="E29" s="5">
        <v>200</v>
      </c>
      <c r="F29" s="5">
        <v>600</v>
      </c>
      <c r="I29" s="2" t="s">
        <v>35</v>
      </c>
      <c r="J29" s="8" t="s">
        <v>46</v>
      </c>
    </row>
    <row r="30" spans="2:10" x14ac:dyDescent="0.3">
      <c r="B30" s="7" t="s">
        <v>44</v>
      </c>
      <c r="C30" s="5">
        <f>SUM(C26:C29)</f>
        <v>2800</v>
      </c>
      <c r="D30" s="5">
        <f t="shared" ref="D30:F30" si="1">SUM(D26:D29)</f>
        <v>1800</v>
      </c>
      <c r="E30" s="5">
        <f t="shared" si="1"/>
        <v>2380</v>
      </c>
      <c r="F30" s="5">
        <f t="shared" si="1"/>
        <v>2890</v>
      </c>
      <c r="I30" s="7" t="s">
        <v>40</v>
      </c>
      <c r="J30" s="9">
        <f>_xlfn.XLOOKUP($J$29,$B$25:$F$25,B26:F26)</f>
        <v>500</v>
      </c>
    </row>
    <row r="31" spans="2:10" x14ac:dyDescent="0.3">
      <c r="I31" s="7" t="s">
        <v>41</v>
      </c>
      <c r="J31" s="9">
        <f t="shared" ref="J31:J34" si="2">_xlfn.XLOOKUP($J$29,$B$25:$F$25,B27:F27)</f>
        <v>700</v>
      </c>
    </row>
    <row r="32" spans="2:10" x14ac:dyDescent="0.3">
      <c r="I32" s="7" t="s">
        <v>42</v>
      </c>
      <c r="J32" s="9">
        <f t="shared" si="2"/>
        <v>1100</v>
      </c>
    </row>
    <row r="33" spans="9:10" x14ac:dyDescent="0.3">
      <c r="I33" s="7" t="s">
        <v>43</v>
      </c>
      <c r="J33" s="9">
        <f t="shared" si="2"/>
        <v>500</v>
      </c>
    </row>
    <row r="34" spans="9:10" x14ac:dyDescent="0.3">
      <c r="I34" s="7" t="s">
        <v>44</v>
      </c>
      <c r="J34" s="9">
        <f t="shared" si="2"/>
        <v>2800</v>
      </c>
    </row>
  </sheetData>
  <mergeCells count="2">
    <mergeCell ref="B24:F24"/>
    <mergeCell ref="B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8"/>
  <sheetViews>
    <sheetView topLeftCell="A15" zoomScaleNormal="100" workbookViewId="0">
      <selection activeCell="E16" sqref="E16"/>
    </sheetView>
  </sheetViews>
  <sheetFormatPr defaultRowHeight="18.75" x14ac:dyDescent="0.3"/>
  <cols>
    <col min="1" max="1" width="2.5" customWidth="1"/>
    <col min="2" max="2" width="10.8984375" customWidth="1"/>
    <col min="3" max="3" width="13.8984375" customWidth="1"/>
    <col min="4" max="4" width="10" customWidth="1"/>
    <col min="5" max="5" width="12.3984375" customWidth="1"/>
    <col min="6" max="6" width="8" customWidth="1"/>
    <col min="7" max="7" width="3.3984375" customWidth="1"/>
    <col min="8" max="8" width="13.8984375" customWidth="1"/>
    <col min="9" max="9" width="14" customWidth="1"/>
    <col min="10" max="10" width="10.09765625" customWidth="1"/>
    <col min="11" max="11" width="12.09765625" customWidth="1"/>
  </cols>
  <sheetData>
    <row r="1" spans="2:12" ht="19.5" thickBot="1" x14ac:dyDescent="0.35"/>
    <row r="2" spans="2:12" ht="19.5" thickBot="1" x14ac:dyDescent="0.35">
      <c r="B2" s="12" t="s">
        <v>88</v>
      </c>
      <c r="C2" s="13"/>
      <c r="D2" s="13"/>
      <c r="E2" s="13"/>
      <c r="F2" s="14"/>
    </row>
    <row r="3" spans="2:12" x14ac:dyDescent="0.3">
      <c r="B3" s="10" t="s">
        <v>0</v>
      </c>
      <c r="C3" s="11" t="s">
        <v>1</v>
      </c>
      <c r="D3" s="11" t="s">
        <v>35</v>
      </c>
      <c r="E3" s="11" t="s">
        <v>3</v>
      </c>
      <c r="F3" s="11" t="s">
        <v>4</v>
      </c>
      <c r="H3" s="2" t="s">
        <v>1</v>
      </c>
      <c r="I3" s="2" t="s">
        <v>35</v>
      </c>
    </row>
    <row r="4" spans="2:12" x14ac:dyDescent="0.3">
      <c r="B4" s="3">
        <v>101</v>
      </c>
      <c r="C4" s="4" t="s">
        <v>20</v>
      </c>
      <c r="D4" s="4" t="s">
        <v>36</v>
      </c>
      <c r="E4" s="4" t="s">
        <v>7</v>
      </c>
      <c r="F4" s="4">
        <v>23</v>
      </c>
      <c r="H4" s="4" t="s">
        <v>82</v>
      </c>
      <c r="I4" s="4" t="s">
        <v>80</v>
      </c>
    </row>
    <row r="5" spans="2:12" x14ac:dyDescent="0.3">
      <c r="B5" s="3">
        <v>102</v>
      </c>
      <c r="C5" s="4" t="s">
        <v>23</v>
      </c>
      <c r="D5" s="4" t="s">
        <v>37</v>
      </c>
      <c r="E5" s="4" t="s">
        <v>10</v>
      </c>
      <c r="F5" s="4">
        <v>20</v>
      </c>
    </row>
    <row r="6" spans="2:12" x14ac:dyDescent="0.3">
      <c r="B6" s="3">
        <v>103</v>
      </c>
      <c r="C6" s="4" t="s">
        <v>25</v>
      </c>
      <c r="D6" s="4" t="s">
        <v>38</v>
      </c>
      <c r="E6" s="4" t="s">
        <v>13</v>
      </c>
      <c r="F6" s="4">
        <v>30</v>
      </c>
      <c r="H6" s="1" t="s">
        <v>0</v>
      </c>
      <c r="I6" s="2" t="s">
        <v>1</v>
      </c>
      <c r="J6" s="2" t="s">
        <v>2</v>
      </c>
      <c r="K6" s="2" t="s">
        <v>3</v>
      </c>
      <c r="L6" s="2" t="s">
        <v>4</v>
      </c>
    </row>
    <row r="7" spans="2:12" x14ac:dyDescent="0.3">
      <c r="B7" s="3">
        <v>104</v>
      </c>
      <c r="C7" s="4" t="s">
        <v>25</v>
      </c>
      <c r="D7" s="4" t="s">
        <v>36</v>
      </c>
      <c r="E7" s="4" t="s">
        <v>16</v>
      </c>
      <c r="F7" s="4">
        <v>40</v>
      </c>
      <c r="H7" cm="1">
        <f t="array" ref="H7:L7">_xlfn._xlws.FILTER(B3:F13,(C3:C13=H4)*(D3:D13=I4),"not found")</f>
        <v>108</v>
      </c>
      <c r="I7" t="str">
        <v>Mouse</v>
      </c>
      <c r="J7" t="str">
        <v>West</v>
      </c>
      <c r="K7" t="str">
        <v>Chandu</v>
      </c>
      <c r="L7">
        <v>10</v>
      </c>
    </row>
    <row r="8" spans="2:12" x14ac:dyDescent="0.3">
      <c r="B8" s="3">
        <v>105</v>
      </c>
      <c r="C8" s="4" t="s">
        <v>25</v>
      </c>
      <c r="D8" s="4" t="s">
        <v>37</v>
      </c>
      <c r="E8" s="4" t="s">
        <v>19</v>
      </c>
      <c r="F8" s="4">
        <v>34</v>
      </c>
    </row>
    <row r="9" spans="2:12" x14ac:dyDescent="0.3">
      <c r="B9" s="3">
        <v>106</v>
      </c>
      <c r="C9" s="4" t="s">
        <v>23</v>
      </c>
      <c r="D9" s="4" t="s">
        <v>38</v>
      </c>
      <c r="E9" s="4" t="s">
        <v>22</v>
      </c>
      <c r="F9" s="4">
        <v>54</v>
      </c>
    </row>
    <row r="10" spans="2:12" x14ac:dyDescent="0.3">
      <c r="B10" s="3">
        <v>107</v>
      </c>
      <c r="C10" s="4" t="s">
        <v>25</v>
      </c>
      <c r="D10" s="4" t="s">
        <v>36</v>
      </c>
      <c r="E10" s="4" t="s">
        <v>24</v>
      </c>
      <c r="F10" s="4">
        <v>30</v>
      </c>
    </row>
    <row r="11" spans="2:12" x14ac:dyDescent="0.3">
      <c r="B11" s="3">
        <v>108</v>
      </c>
      <c r="C11" s="4" t="s">
        <v>28</v>
      </c>
      <c r="D11" s="4" t="s">
        <v>37</v>
      </c>
      <c r="E11" s="4" t="s">
        <v>27</v>
      </c>
      <c r="F11" s="4">
        <v>10</v>
      </c>
    </row>
    <row r="12" spans="2:12" x14ac:dyDescent="0.3">
      <c r="B12" s="3">
        <v>109</v>
      </c>
      <c r="C12" s="4" t="s">
        <v>28</v>
      </c>
      <c r="D12" s="4" t="s">
        <v>38</v>
      </c>
      <c r="E12" s="4" t="s">
        <v>30</v>
      </c>
      <c r="F12" s="4">
        <v>20</v>
      </c>
    </row>
    <row r="13" spans="2:12" x14ac:dyDescent="0.3">
      <c r="B13" s="3">
        <v>110</v>
      </c>
      <c r="C13" s="4" t="s">
        <v>23</v>
      </c>
      <c r="D13" s="4" t="s">
        <v>36</v>
      </c>
      <c r="E13" s="4" t="s">
        <v>33</v>
      </c>
      <c r="F13" s="4">
        <v>25</v>
      </c>
    </row>
    <row r="23" spans="2:6" x14ac:dyDescent="0.3">
      <c r="B23" s="2" t="s">
        <v>35</v>
      </c>
      <c r="C23" s="6" t="s">
        <v>36</v>
      </c>
      <c r="D23" s="6" t="s">
        <v>37</v>
      </c>
      <c r="E23" s="6" t="s">
        <v>38</v>
      </c>
      <c r="F23" s="6" t="s">
        <v>39</v>
      </c>
    </row>
    <row r="24" spans="2:6" x14ac:dyDescent="0.3">
      <c r="B24" s="7" t="s">
        <v>40</v>
      </c>
      <c r="C24" s="5">
        <v>500</v>
      </c>
      <c r="D24" s="5">
        <v>350</v>
      </c>
      <c r="E24" s="5">
        <v>860</v>
      </c>
      <c r="F24" s="5">
        <v>350</v>
      </c>
    </row>
    <row r="25" spans="2:6" x14ac:dyDescent="0.3">
      <c r="B25" s="7" t="s">
        <v>41</v>
      </c>
      <c r="C25" s="5">
        <v>700</v>
      </c>
      <c r="D25" s="5">
        <v>400</v>
      </c>
      <c r="E25" s="5">
        <v>550</v>
      </c>
      <c r="F25" s="5">
        <v>990</v>
      </c>
    </row>
    <row r="26" spans="2:6" x14ac:dyDescent="0.3">
      <c r="B26" s="7" t="s">
        <v>42</v>
      </c>
      <c r="C26" s="5">
        <v>1100</v>
      </c>
      <c r="D26" s="5">
        <v>650</v>
      </c>
      <c r="E26" s="5">
        <v>770</v>
      </c>
      <c r="F26" s="5">
        <v>950</v>
      </c>
    </row>
    <row r="27" spans="2:6" x14ac:dyDescent="0.3">
      <c r="B27" s="7" t="s">
        <v>43</v>
      </c>
      <c r="C27" s="5">
        <v>500</v>
      </c>
      <c r="D27" s="5">
        <v>400</v>
      </c>
      <c r="E27" s="5">
        <v>200</v>
      </c>
      <c r="F27" s="5">
        <v>600</v>
      </c>
    </row>
    <row r="28" spans="2:6" x14ac:dyDescent="0.3">
      <c r="B28" s="7" t="s">
        <v>44</v>
      </c>
      <c r="C28" s="5">
        <f>SUM(C24:C27)</f>
        <v>2800</v>
      </c>
      <c r="D28" s="5">
        <f t="shared" ref="D28:F28" si="0">SUM(D24:D27)</f>
        <v>1800</v>
      </c>
      <c r="E28" s="5">
        <f t="shared" si="0"/>
        <v>2380</v>
      </c>
      <c r="F28" s="5">
        <f t="shared" si="0"/>
        <v>2890</v>
      </c>
    </row>
  </sheetData>
  <mergeCells count="1">
    <mergeCell ref="B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"/>
  <sheetViews>
    <sheetView tabSelected="1" zoomScale="115" zoomScaleNormal="115" workbookViewId="0">
      <selection activeCell="D13" sqref="D13"/>
    </sheetView>
  </sheetViews>
  <sheetFormatPr defaultRowHeight="18.75" x14ac:dyDescent="0.3"/>
  <cols>
    <col min="2" max="3" width="12.8984375" customWidth="1"/>
    <col min="4" max="4" width="18.59765625" customWidth="1"/>
    <col min="5" max="5" width="23.8984375" customWidth="1"/>
  </cols>
  <sheetData>
    <row r="1" spans="2:5" ht="19.5" thickBot="1" x14ac:dyDescent="0.35"/>
    <row r="2" spans="2:5" ht="19.5" thickBot="1" x14ac:dyDescent="0.35">
      <c r="B2" s="12" t="s">
        <v>89</v>
      </c>
      <c r="C2" s="13"/>
      <c r="D2" s="14"/>
    </row>
    <row r="3" spans="2:5" x14ac:dyDescent="0.3">
      <c r="B3" s="11" t="s">
        <v>47</v>
      </c>
      <c r="C3" s="11" t="s">
        <v>49</v>
      </c>
      <c r="D3" s="11" t="s">
        <v>77</v>
      </c>
    </row>
    <row r="4" spans="2:5" x14ac:dyDescent="0.3">
      <c r="B4" s="4" t="s">
        <v>50</v>
      </c>
      <c r="C4" s="4" t="s">
        <v>52</v>
      </c>
      <c r="D4" s="4" t="s">
        <v>78</v>
      </c>
      <c r="E4" t="str">
        <f>"Mr. "&amp;B4&amp;" "&amp;C4</f>
        <v>Mr. Raj Singh</v>
      </c>
    </row>
    <row r="5" spans="2:5" x14ac:dyDescent="0.3">
      <c r="B5" s="4" t="s">
        <v>53</v>
      </c>
      <c r="C5" s="4" t="s">
        <v>54</v>
      </c>
      <c r="D5" s="4" t="s">
        <v>78</v>
      </c>
      <c r="E5" t="str">
        <f t="shared" ref="E5:E7" si="0">"Mr. "&amp;B5&amp;" "&amp;C5</f>
        <v>Mr. Rohit Sharma</v>
      </c>
    </row>
    <row r="6" spans="2:5" x14ac:dyDescent="0.3">
      <c r="B6" s="4" t="s">
        <v>55</v>
      </c>
      <c r="C6" s="4" t="s">
        <v>54</v>
      </c>
      <c r="D6" s="4" t="s">
        <v>78</v>
      </c>
      <c r="E6" t="str">
        <f t="shared" si="0"/>
        <v>Mr. Suresh Sharma</v>
      </c>
    </row>
    <row r="7" spans="2:5" x14ac:dyDescent="0.3">
      <c r="B7" s="4" t="s">
        <v>56</v>
      </c>
      <c r="C7" s="4" t="s">
        <v>51</v>
      </c>
      <c r="D7" s="4" t="s">
        <v>78</v>
      </c>
      <c r="E7" t="str">
        <f t="shared" si="0"/>
        <v>Mr. Anil Kumar</v>
      </c>
    </row>
    <row r="8" spans="2:5" x14ac:dyDescent="0.3">
      <c r="B8" s="4" t="s">
        <v>57</v>
      </c>
      <c r="C8" s="4" t="s">
        <v>58</v>
      </c>
      <c r="D8" s="4" t="s">
        <v>79</v>
      </c>
      <c r="E8" t="str">
        <f>"Miss "&amp;B8&amp;" "&amp;C8</f>
        <v>Miss Reena Kumari</v>
      </c>
    </row>
    <row r="9" spans="2:5" x14ac:dyDescent="0.3">
      <c r="B9" s="9" t="s">
        <v>59</v>
      </c>
      <c r="C9" s="9" t="s">
        <v>60</v>
      </c>
      <c r="D9" s="9" t="s">
        <v>79</v>
      </c>
      <c r="E9" t="str">
        <f>"Miss "&amp;B9&amp;" "&amp;C9</f>
        <v>Miss Anjali Rajpoot</v>
      </c>
    </row>
    <row r="10" spans="2:5" x14ac:dyDescent="0.3">
      <c r="B10" s="9" t="s">
        <v>61</v>
      </c>
      <c r="C10" s="9" t="s">
        <v>62</v>
      </c>
      <c r="D10" s="9" t="s">
        <v>78</v>
      </c>
      <c r="E10" t="str">
        <f>"Mr. "&amp;B10&amp;" "&amp;C10</f>
        <v>Mr. Deepak Nehra</v>
      </c>
    </row>
    <row r="11" spans="2:5" x14ac:dyDescent="0.3">
      <c r="B11" s="9" t="s">
        <v>63</v>
      </c>
      <c r="C11" s="9" t="s">
        <v>54</v>
      </c>
      <c r="D11" s="9" t="s">
        <v>79</v>
      </c>
      <c r="E11" t="str">
        <f>"Miss "&amp;B11&amp;" "&amp;C11</f>
        <v>Miss Neha Sharma</v>
      </c>
    </row>
  </sheetData>
  <autoFilter ref="B3:D11"/>
  <mergeCells count="1">
    <mergeCell ref="B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"/>
  <sheetViews>
    <sheetView zoomScale="130" zoomScaleNormal="130" workbookViewId="0">
      <selection activeCell="B3" sqref="B3"/>
    </sheetView>
  </sheetViews>
  <sheetFormatPr defaultRowHeight="18.75" x14ac:dyDescent="0.3"/>
  <cols>
    <col min="2" max="4" width="12.69921875" customWidth="1"/>
    <col min="5" max="5" width="29.19921875" customWidth="1"/>
  </cols>
  <sheetData>
    <row r="1" spans="2:5" ht="19.5" thickBot="1" x14ac:dyDescent="0.35"/>
    <row r="2" spans="2:5" ht="19.5" thickBot="1" x14ac:dyDescent="0.35">
      <c r="B2" s="12" t="s">
        <v>90</v>
      </c>
      <c r="C2" s="13"/>
      <c r="D2" s="14"/>
    </row>
    <row r="3" spans="2:5" x14ac:dyDescent="0.3">
      <c r="B3" s="11" t="s">
        <v>47</v>
      </c>
      <c r="C3" s="11" t="s">
        <v>48</v>
      </c>
      <c r="D3" s="11" t="s">
        <v>49</v>
      </c>
    </row>
    <row r="4" spans="2:5" x14ac:dyDescent="0.3">
      <c r="B4" s="4" t="s">
        <v>50</v>
      </c>
      <c r="C4" s="4" t="s">
        <v>51</v>
      </c>
      <c r="D4" s="4" t="s">
        <v>52</v>
      </c>
      <c r="E4" t="str">
        <f>_xlfn.TEXTJOIN("_",TRUE,B4,C4,D4)</f>
        <v>Raj_Kumar_Singh</v>
      </c>
    </row>
    <row r="5" spans="2:5" x14ac:dyDescent="0.3">
      <c r="B5" s="4" t="s">
        <v>53</v>
      </c>
      <c r="C5" s="4"/>
      <c r="D5" s="4" t="s">
        <v>54</v>
      </c>
      <c r="E5" t="str">
        <f t="shared" ref="E5:E11" si="0">_xlfn.TEXTJOIN("_",TRUE,B5,C5,D5)</f>
        <v>Rohit_Sharma</v>
      </c>
    </row>
    <row r="6" spans="2:5" x14ac:dyDescent="0.3">
      <c r="B6" s="4" t="s">
        <v>55</v>
      </c>
      <c r="C6" s="4"/>
      <c r="D6" s="4" t="s">
        <v>54</v>
      </c>
      <c r="E6" t="str">
        <f t="shared" si="0"/>
        <v>Suresh_Sharma</v>
      </c>
    </row>
    <row r="7" spans="2:5" x14ac:dyDescent="0.3">
      <c r="B7" s="4" t="s">
        <v>65</v>
      </c>
      <c r="C7" s="4" t="s">
        <v>52</v>
      </c>
      <c r="D7" s="4" t="s">
        <v>66</v>
      </c>
      <c r="E7" t="str">
        <f t="shared" si="0"/>
        <v>Ram_Singh_Tewatia</v>
      </c>
    </row>
    <row r="8" spans="2:5" x14ac:dyDescent="0.3">
      <c r="B8" s="4" t="s">
        <v>57</v>
      </c>
      <c r="C8" s="4"/>
      <c r="D8" s="4" t="s">
        <v>58</v>
      </c>
      <c r="E8" t="str">
        <f t="shared" si="0"/>
        <v>Reena_Kumari</v>
      </c>
    </row>
    <row r="9" spans="2:5" x14ac:dyDescent="0.3">
      <c r="B9" s="9" t="s">
        <v>59</v>
      </c>
      <c r="C9" s="4" t="s">
        <v>58</v>
      </c>
      <c r="D9" s="9" t="s">
        <v>60</v>
      </c>
      <c r="E9" t="str">
        <f t="shared" si="0"/>
        <v>Anjali_Kumari_Rajpoot</v>
      </c>
    </row>
    <row r="10" spans="2:5" x14ac:dyDescent="0.3">
      <c r="B10" s="9" t="s">
        <v>61</v>
      </c>
      <c r="C10" s="4"/>
      <c r="D10" s="9" t="s">
        <v>62</v>
      </c>
      <c r="E10" t="str">
        <f t="shared" si="0"/>
        <v>Deepak_Nehra</v>
      </c>
    </row>
    <row r="11" spans="2:5" x14ac:dyDescent="0.3">
      <c r="B11" s="9" t="s">
        <v>63</v>
      </c>
      <c r="C11" s="4" t="s">
        <v>52</v>
      </c>
      <c r="D11" s="9" t="s">
        <v>64</v>
      </c>
      <c r="E11" t="str">
        <f t="shared" si="0"/>
        <v>Neha_Singh_Rathor</v>
      </c>
    </row>
  </sheetData>
  <mergeCells count="1">
    <mergeCell ref="B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4"/>
  <sheetViews>
    <sheetView zoomScale="115" zoomScaleNormal="115" workbookViewId="0">
      <selection activeCell="B3" sqref="B3"/>
    </sheetView>
  </sheetViews>
  <sheetFormatPr defaultRowHeight="18.75" x14ac:dyDescent="0.3"/>
  <cols>
    <col min="2" max="2" width="14.796875" customWidth="1"/>
    <col min="3" max="3" width="10.3984375" customWidth="1"/>
    <col min="4" max="4" width="12.5" customWidth="1"/>
    <col min="7" max="7" width="15" customWidth="1"/>
    <col min="8" max="8" width="13.296875" customWidth="1"/>
  </cols>
  <sheetData>
    <row r="1" spans="2:8" ht="19.5" thickBot="1" x14ac:dyDescent="0.35"/>
    <row r="2" spans="2:8" ht="19.5" thickBot="1" x14ac:dyDescent="0.35">
      <c r="B2" s="12" t="s">
        <v>91</v>
      </c>
      <c r="C2" s="13"/>
      <c r="D2" s="13"/>
      <c r="E2" s="14"/>
    </row>
    <row r="3" spans="2:8" x14ac:dyDescent="0.3">
      <c r="B3" s="11" t="s">
        <v>1</v>
      </c>
      <c r="C3" s="11" t="s">
        <v>35</v>
      </c>
      <c r="D3" s="11" t="s">
        <v>3</v>
      </c>
      <c r="E3" s="11" t="s">
        <v>4</v>
      </c>
      <c r="G3" s="2" t="s">
        <v>1</v>
      </c>
      <c r="H3" s="2" t="s">
        <v>67</v>
      </c>
    </row>
    <row r="4" spans="2:8" x14ac:dyDescent="0.3">
      <c r="B4" s="4" t="s">
        <v>20</v>
      </c>
      <c r="C4" s="4" t="s">
        <v>36</v>
      </c>
      <c r="D4" s="4" t="s">
        <v>7</v>
      </c>
      <c r="E4" s="4">
        <v>23</v>
      </c>
      <c r="G4" t="s">
        <v>83</v>
      </c>
      <c r="H4">
        <f>SUMIF(B3:B13,G4,E3:E13)</f>
        <v>50</v>
      </c>
    </row>
    <row r="5" spans="2:8" x14ac:dyDescent="0.3">
      <c r="B5" s="4" t="s">
        <v>23</v>
      </c>
      <c r="C5" s="4" t="s">
        <v>37</v>
      </c>
      <c r="D5" s="4" t="s">
        <v>10</v>
      </c>
      <c r="E5" s="4">
        <v>20</v>
      </c>
    </row>
    <row r="6" spans="2:8" x14ac:dyDescent="0.3">
      <c r="B6" s="4" t="s">
        <v>25</v>
      </c>
      <c r="C6" s="4" t="s">
        <v>38</v>
      </c>
      <c r="D6" s="4" t="s">
        <v>13</v>
      </c>
      <c r="E6" s="4">
        <v>30</v>
      </c>
      <c r="G6" s="2" t="s">
        <v>35</v>
      </c>
      <c r="H6" s="2" t="s">
        <v>4</v>
      </c>
    </row>
    <row r="7" spans="2:8" x14ac:dyDescent="0.3">
      <c r="B7" s="4" t="s">
        <v>28</v>
      </c>
      <c r="C7" s="4" t="s">
        <v>36</v>
      </c>
      <c r="D7" s="4" t="s">
        <v>16</v>
      </c>
      <c r="E7" s="4">
        <v>40</v>
      </c>
      <c r="G7" s="4" t="s">
        <v>80</v>
      </c>
      <c r="H7" s="4">
        <f>SUMIF(C3:C13,G7,E3:E13)</f>
        <v>64</v>
      </c>
    </row>
    <row r="8" spans="2:8" x14ac:dyDescent="0.3">
      <c r="B8" s="4" t="s">
        <v>28</v>
      </c>
      <c r="C8" s="4" t="s">
        <v>37</v>
      </c>
      <c r="D8" s="4" t="s">
        <v>19</v>
      </c>
      <c r="E8" s="4">
        <v>34</v>
      </c>
    </row>
    <row r="9" spans="2:8" x14ac:dyDescent="0.3">
      <c r="B9" s="4" t="s">
        <v>20</v>
      </c>
      <c r="C9" s="4" t="s">
        <v>38</v>
      </c>
      <c r="D9" s="4" t="s">
        <v>22</v>
      </c>
      <c r="E9" s="4">
        <v>54</v>
      </c>
    </row>
    <row r="10" spans="2:8" x14ac:dyDescent="0.3">
      <c r="B10" s="4" t="s">
        <v>23</v>
      </c>
      <c r="C10" s="4" t="s">
        <v>36</v>
      </c>
      <c r="D10" s="4" t="s">
        <v>24</v>
      </c>
      <c r="E10" s="4">
        <v>30</v>
      </c>
    </row>
    <row r="11" spans="2:8" x14ac:dyDescent="0.3">
      <c r="B11" s="4" t="s">
        <v>25</v>
      </c>
      <c r="C11" s="4" t="s">
        <v>37</v>
      </c>
      <c r="D11" s="4" t="s">
        <v>27</v>
      </c>
      <c r="E11" s="4">
        <v>10</v>
      </c>
    </row>
    <row r="12" spans="2:8" x14ac:dyDescent="0.3">
      <c r="B12" s="4" t="s">
        <v>28</v>
      </c>
      <c r="C12" s="4" t="s">
        <v>38</v>
      </c>
      <c r="D12" s="4" t="s">
        <v>30</v>
      </c>
      <c r="E12" s="4">
        <v>20</v>
      </c>
    </row>
    <row r="13" spans="2:8" x14ac:dyDescent="0.3">
      <c r="B13" s="4" t="s">
        <v>28</v>
      </c>
      <c r="C13" s="4" t="s">
        <v>36</v>
      </c>
      <c r="D13" s="4" t="s">
        <v>33</v>
      </c>
      <c r="E13" s="4">
        <v>25</v>
      </c>
    </row>
    <row r="15" spans="2:8" x14ac:dyDescent="0.3">
      <c r="E15">
        <f>SUM(E4:E13)</f>
        <v>286</v>
      </c>
    </row>
    <row r="22" spans="2:8" ht="19.5" thickBot="1" x14ac:dyDescent="0.35"/>
    <row r="23" spans="2:8" ht="19.5" thickBot="1" x14ac:dyDescent="0.35">
      <c r="B23" s="12" t="s">
        <v>91</v>
      </c>
      <c r="C23" s="13"/>
      <c r="D23" s="13"/>
      <c r="E23" s="14"/>
    </row>
    <row r="24" spans="2:8" x14ac:dyDescent="0.3">
      <c r="B24" s="11" t="s">
        <v>1</v>
      </c>
      <c r="C24" s="11" t="s">
        <v>35</v>
      </c>
      <c r="D24" s="11" t="s">
        <v>3</v>
      </c>
      <c r="E24" s="11" t="s">
        <v>4</v>
      </c>
      <c r="G24" s="2" t="s">
        <v>1</v>
      </c>
      <c r="H24" s="2" t="s">
        <v>4</v>
      </c>
    </row>
    <row r="25" spans="2:8" x14ac:dyDescent="0.3">
      <c r="B25" s="4" t="s">
        <v>68</v>
      </c>
      <c r="C25" s="4" t="s">
        <v>36</v>
      </c>
      <c r="D25" s="4" t="s">
        <v>7</v>
      </c>
      <c r="E25" s="4">
        <v>23</v>
      </c>
      <c r="G25" s="4" t="s">
        <v>84</v>
      </c>
      <c r="H25" s="4">
        <f>SUMIF(B24:B34,G25,E24:E34)</f>
        <v>119</v>
      </c>
    </row>
    <row r="26" spans="2:8" x14ac:dyDescent="0.3">
      <c r="B26" s="4" t="s">
        <v>69</v>
      </c>
      <c r="C26" s="4" t="s">
        <v>37</v>
      </c>
      <c r="D26" s="4" t="s">
        <v>10</v>
      </c>
      <c r="E26" s="4">
        <v>20</v>
      </c>
    </row>
    <row r="27" spans="2:8" x14ac:dyDescent="0.3">
      <c r="B27" s="4" t="s">
        <v>70</v>
      </c>
      <c r="C27" s="4" t="s">
        <v>38</v>
      </c>
      <c r="D27" s="4" t="s">
        <v>13</v>
      </c>
      <c r="E27" s="4">
        <v>30</v>
      </c>
    </row>
    <row r="28" spans="2:8" x14ac:dyDescent="0.3">
      <c r="B28" s="4" t="s">
        <v>71</v>
      </c>
      <c r="C28" s="4" t="s">
        <v>36</v>
      </c>
      <c r="D28" s="4" t="s">
        <v>16</v>
      </c>
      <c r="E28" s="4">
        <v>40</v>
      </c>
    </row>
    <row r="29" spans="2:8" x14ac:dyDescent="0.3">
      <c r="B29" s="4" t="s">
        <v>28</v>
      </c>
      <c r="C29" s="4" t="s">
        <v>37</v>
      </c>
      <c r="D29" s="4" t="s">
        <v>19</v>
      </c>
      <c r="E29" s="4">
        <v>34</v>
      </c>
    </row>
    <row r="30" spans="2:8" x14ac:dyDescent="0.3">
      <c r="B30" s="4" t="s">
        <v>72</v>
      </c>
      <c r="C30" s="4" t="s">
        <v>38</v>
      </c>
      <c r="D30" s="4" t="s">
        <v>22</v>
      </c>
      <c r="E30" s="4">
        <v>54</v>
      </c>
    </row>
    <row r="31" spans="2:8" x14ac:dyDescent="0.3">
      <c r="B31" s="4" t="s">
        <v>23</v>
      </c>
      <c r="C31" s="4" t="s">
        <v>36</v>
      </c>
      <c r="D31" s="4" t="s">
        <v>24</v>
      </c>
      <c r="E31" s="4">
        <v>30</v>
      </c>
    </row>
    <row r="32" spans="2:8" x14ac:dyDescent="0.3">
      <c r="B32" s="4" t="s">
        <v>73</v>
      </c>
      <c r="C32" s="4" t="s">
        <v>37</v>
      </c>
      <c r="D32" s="4" t="s">
        <v>27</v>
      </c>
      <c r="E32" s="4">
        <v>10</v>
      </c>
    </row>
    <row r="33" spans="2:5" x14ac:dyDescent="0.3">
      <c r="B33" s="4" t="s">
        <v>74</v>
      </c>
      <c r="C33" s="4" t="s">
        <v>38</v>
      </c>
      <c r="D33" s="4" t="s">
        <v>30</v>
      </c>
      <c r="E33" s="4">
        <v>20</v>
      </c>
    </row>
    <row r="34" spans="2:5" x14ac:dyDescent="0.3">
      <c r="B34" s="4" t="s">
        <v>28</v>
      </c>
      <c r="C34" s="4" t="s">
        <v>36</v>
      </c>
      <c r="D34" s="4" t="s">
        <v>33</v>
      </c>
      <c r="E34" s="4">
        <v>25</v>
      </c>
    </row>
  </sheetData>
  <mergeCells count="2">
    <mergeCell ref="B23:E23"/>
    <mergeCell ref="B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3"/>
  <sheetViews>
    <sheetView topLeftCell="A5" zoomScale="115" zoomScaleNormal="115" workbookViewId="0">
      <selection activeCell="B3" sqref="B3"/>
    </sheetView>
  </sheetViews>
  <sheetFormatPr defaultRowHeight="18.75" x14ac:dyDescent="0.3"/>
  <cols>
    <col min="2" max="2" width="14.3984375" customWidth="1"/>
    <col min="4" max="4" width="12.59765625" customWidth="1"/>
    <col min="7" max="7" width="13.796875" customWidth="1"/>
    <col min="8" max="8" width="9.59765625" customWidth="1"/>
  </cols>
  <sheetData>
    <row r="1" spans="2:9" ht="19.5" thickBot="1" x14ac:dyDescent="0.35"/>
    <row r="2" spans="2:9" ht="19.5" thickBot="1" x14ac:dyDescent="0.35">
      <c r="B2" s="12" t="s">
        <v>92</v>
      </c>
      <c r="C2" s="13"/>
      <c r="D2" s="13"/>
      <c r="E2" s="14"/>
    </row>
    <row r="3" spans="2:9" x14ac:dyDescent="0.3">
      <c r="B3" s="11" t="s">
        <v>1</v>
      </c>
      <c r="C3" s="11" t="s">
        <v>35</v>
      </c>
      <c r="D3" s="11" t="s">
        <v>3</v>
      </c>
      <c r="E3" s="11" t="s">
        <v>4</v>
      </c>
      <c r="G3" s="2" t="s">
        <v>1</v>
      </c>
      <c r="H3" s="2" t="s">
        <v>35</v>
      </c>
      <c r="I3" s="2" t="s">
        <v>4</v>
      </c>
    </row>
    <row r="4" spans="2:9" x14ac:dyDescent="0.3">
      <c r="B4" s="4" t="s">
        <v>20</v>
      </c>
      <c r="C4" s="4" t="s">
        <v>36</v>
      </c>
      <c r="D4" s="4" t="s">
        <v>7</v>
      </c>
      <c r="E4" s="4">
        <v>23</v>
      </c>
      <c r="G4" s="4" t="s">
        <v>84</v>
      </c>
      <c r="H4" s="4" t="s">
        <v>46</v>
      </c>
      <c r="I4" s="4">
        <f>SUMIFS(E3:E13,B3:B13,G4,C3:C13,H4)</f>
        <v>65</v>
      </c>
    </row>
    <row r="5" spans="2:9" x14ac:dyDescent="0.3">
      <c r="B5" s="4" t="s">
        <v>23</v>
      </c>
      <c r="C5" s="4" t="s">
        <v>37</v>
      </c>
      <c r="D5" s="4" t="s">
        <v>75</v>
      </c>
      <c r="E5" s="4">
        <v>20</v>
      </c>
    </row>
    <row r="6" spans="2:9" x14ac:dyDescent="0.3">
      <c r="B6" s="4" t="s">
        <v>25</v>
      </c>
      <c r="C6" s="4" t="s">
        <v>38</v>
      </c>
      <c r="D6" s="4" t="s">
        <v>13</v>
      </c>
      <c r="E6" s="4">
        <v>30</v>
      </c>
    </row>
    <row r="7" spans="2:9" x14ac:dyDescent="0.3">
      <c r="B7" s="4" t="s">
        <v>28</v>
      </c>
      <c r="C7" s="4" t="s">
        <v>36</v>
      </c>
      <c r="D7" s="4" t="s">
        <v>7</v>
      </c>
      <c r="E7" s="4">
        <v>40</v>
      </c>
    </row>
    <row r="8" spans="2:9" x14ac:dyDescent="0.3">
      <c r="B8" s="4" t="s">
        <v>28</v>
      </c>
      <c r="C8" s="4" t="s">
        <v>37</v>
      </c>
      <c r="D8" s="4" t="s">
        <v>75</v>
      </c>
      <c r="E8" s="4">
        <v>34</v>
      </c>
    </row>
    <row r="9" spans="2:9" x14ac:dyDescent="0.3">
      <c r="B9" s="4" t="s">
        <v>20</v>
      </c>
      <c r="C9" s="4" t="s">
        <v>38</v>
      </c>
      <c r="D9" s="4" t="s">
        <v>13</v>
      </c>
      <c r="E9" s="4">
        <v>54</v>
      </c>
    </row>
    <row r="10" spans="2:9" x14ac:dyDescent="0.3">
      <c r="B10" s="4" t="s">
        <v>23</v>
      </c>
      <c r="C10" s="4" t="s">
        <v>36</v>
      </c>
      <c r="D10" s="4" t="s">
        <v>7</v>
      </c>
      <c r="E10" s="4">
        <v>30</v>
      </c>
    </row>
    <row r="11" spans="2:9" x14ac:dyDescent="0.3">
      <c r="B11" s="4" t="s">
        <v>25</v>
      </c>
      <c r="C11" s="4" t="s">
        <v>37</v>
      </c>
      <c r="D11" s="4" t="s">
        <v>75</v>
      </c>
      <c r="E11" s="4">
        <v>10</v>
      </c>
    </row>
    <row r="12" spans="2:9" x14ac:dyDescent="0.3">
      <c r="B12" s="4" t="s">
        <v>28</v>
      </c>
      <c r="C12" s="4" t="s">
        <v>38</v>
      </c>
      <c r="D12" s="4" t="s">
        <v>13</v>
      </c>
      <c r="E12" s="4">
        <v>20</v>
      </c>
    </row>
    <row r="13" spans="2:9" x14ac:dyDescent="0.3">
      <c r="B13" s="4" t="s">
        <v>28</v>
      </c>
      <c r="C13" s="4" t="s">
        <v>36</v>
      </c>
      <c r="D13" s="4" t="s">
        <v>7</v>
      </c>
      <c r="E13" s="4">
        <v>25</v>
      </c>
    </row>
  </sheetData>
  <mergeCells count="1">
    <mergeCell ref="B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3"/>
  <sheetViews>
    <sheetView zoomScale="115" zoomScaleNormal="115" workbookViewId="0">
      <selection activeCell="B3" sqref="B3"/>
    </sheetView>
  </sheetViews>
  <sheetFormatPr defaultRowHeight="18.75" x14ac:dyDescent="0.3"/>
  <cols>
    <col min="2" max="2" width="14.3984375" customWidth="1"/>
    <col min="4" max="4" width="12.59765625" customWidth="1"/>
    <col min="7" max="7" width="13.796875" customWidth="1"/>
    <col min="8" max="8" width="9.59765625" customWidth="1"/>
    <col min="9" max="9" width="13.796875" customWidth="1"/>
  </cols>
  <sheetData>
    <row r="1" spans="2:9" ht="19.5" thickBot="1" x14ac:dyDescent="0.35"/>
    <row r="2" spans="2:9" ht="19.5" thickBot="1" x14ac:dyDescent="0.35">
      <c r="B2" s="12" t="s">
        <v>93</v>
      </c>
      <c r="C2" s="13"/>
      <c r="D2" s="13"/>
      <c r="E2" s="14"/>
    </row>
    <row r="3" spans="2:9" x14ac:dyDescent="0.3">
      <c r="B3" s="11" t="s">
        <v>1</v>
      </c>
      <c r="C3" s="11" t="s">
        <v>35</v>
      </c>
      <c r="D3" s="11" t="s">
        <v>3</v>
      </c>
      <c r="E3" s="11" t="s">
        <v>4</v>
      </c>
      <c r="G3" s="2" t="s">
        <v>1</v>
      </c>
      <c r="H3" s="2" t="s">
        <v>35</v>
      </c>
      <c r="I3" s="2" t="s">
        <v>76</v>
      </c>
    </row>
    <row r="4" spans="2:9" x14ac:dyDescent="0.3">
      <c r="B4" s="4" t="s">
        <v>20</v>
      </c>
      <c r="C4" s="4" t="s">
        <v>36</v>
      </c>
      <c r="D4" s="4" t="s">
        <v>7</v>
      </c>
      <c r="E4" s="4">
        <v>23</v>
      </c>
      <c r="G4" s="4"/>
      <c r="H4" s="4" t="s">
        <v>45</v>
      </c>
      <c r="I4" s="4">
        <f>COUNTIF(C3:C13,H4)</f>
        <v>3</v>
      </c>
    </row>
    <row r="5" spans="2:9" x14ac:dyDescent="0.3">
      <c r="B5" s="4" t="s">
        <v>23</v>
      </c>
      <c r="C5" s="4" t="s">
        <v>37</v>
      </c>
      <c r="D5" s="4" t="s">
        <v>75</v>
      </c>
      <c r="E5" s="4">
        <v>20</v>
      </c>
    </row>
    <row r="6" spans="2:9" x14ac:dyDescent="0.3">
      <c r="B6" s="4" t="s">
        <v>25</v>
      </c>
      <c r="C6" s="4" t="s">
        <v>38</v>
      </c>
      <c r="D6" s="4" t="s">
        <v>13</v>
      </c>
      <c r="E6" s="4">
        <v>30</v>
      </c>
    </row>
    <row r="7" spans="2:9" x14ac:dyDescent="0.3">
      <c r="B7" s="4" t="s">
        <v>28</v>
      </c>
      <c r="C7" s="4" t="s">
        <v>36</v>
      </c>
      <c r="D7" s="4" t="s">
        <v>7</v>
      </c>
      <c r="E7" s="4">
        <v>40</v>
      </c>
    </row>
    <row r="8" spans="2:9" x14ac:dyDescent="0.3">
      <c r="B8" s="4" t="s">
        <v>28</v>
      </c>
      <c r="C8" s="4" t="s">
        <v>37</v>
      </c>
      <c r="D8" s="4" t="s">
        <v>75</v>
      </c>
      <c r="E8" s="4">
        <v>34</v>
      </c>
    </row>
    <row r="9" spans="2:9" x14ac:dyDescent="0.3">
      <c r="B9" s="4" t="s">
        <v>20</v>
      </c>
      <c r="C9" s="4" t="s">
        <v>38</v>
      </c>
      <c r="D9" s="4" t="s">
        <v>13</v>
      </c>
      <c r="E9" s="4">
        <v>54</v>
      </c>
    </row>
    <row r="10" spans="2:9" x14ac:dyDescent="0.3">
      <c r="B10" s="4" t="s">
        <v>23</v>
      </c>
      <c r="C10" s="4" t="s">
        <v>36</v>
      </c>
      <c r="D10" s="4" t="s">
        <v>7</v>
      </c>
      <c r="E10" s="4">
        <v>30</v>
      </c>
    </row>
    <row r="11" spans="2:9" x14ac:dyDescent="0.3">
      <c r="B11" s="4" t="s">
        <v>25</v>
      </c>
      <c r="C11" s="4" t="s">
        <v>37</v>
      </c>
      <c r="D11" s="4" t="s">
        <v>75</v>
      </c>
      <c r="E11" s="4">
        <v>10</v>
      </c>
    </row>
    <row r="12" spans="2:9" x14ac:dyDescent="0.3">
      <c r="B12" s="4" t="s">
        <v>28</v>
      </c>
      <c r="C12" s="4" t="s">
        <v>38</v>
      </c>
      <c r="D12" s="4" t="s">
        <v>13</v>
      </c>
      <c r="E12" s="4">
        <v>20</v>
      </c>
    </row>
    <row r="13" spans="2:9" x14ac:dyDescent="0.3">
      <c r="B13" s="4" t="s">
        <v>28</v>
      </c>
      <c r="C13" s="4" t="s">
        <v>36</v>
      </c>
      <c r="D13" s="4" t="s">
        <v>7</v>
      </c>
      <c r="E13" s="4">
        <v>25</v>
      </c>
    </row>
  </sheetData>
  <mergeCells count="1">
    <mergeCell ref="B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3"/>
  <sheetViews>
    <sheetView zoomScale="115" zoomScaleNormal="115" workbookViewId="0">
      <selection activeCell="B3" sqref="B3"/>
    </sheetView>
  </sheetViews>
  <sheetFormatPr defaultRowHeight="18.75" x14ac:dyDescent="0.3"/>
  <cols>
    <col min="2" max="2" width="14.3984375" customWidth="1"/>
    <col min="4" max="4" width="12.59765625" customWidth="1"/>
    <col min="7" max="7" width="13.796875" customWidth="1"/>
    <col min="8" max="8" width="9.59765625" customWidth="1"/>
    <col min="9" max="9" width="12.796875" customWidth="1"/>
  </cols>
  <sheetData>
    <row r="1" spans="2:9" ht="19.5" thickBot="1" x14ac:dyDescent="0.35"/>
    <row r="2" spans="2:9" ht="19.5" thickBot="1" x14ac:dyDescent="0.35">
      <c r="B2" s="12" t="s">
        <v>94</v>
      </c>
      <c r="C2" s="13"/>
      <c r="D2" s="13"/>
      <c r="E2" s="14"/>
    </row>
    <row r="3" spans="2:9" x14ac:dyDescent="0.3">
      <c r="B3" s="11" t="s">
        <v>1</v>
      </c>
      <c r="C3" s="11" t="s">
        <v>35</v>
      </c>
      <c r="D3" s="11" t="s">
        <v>3</v>
      </c>
      <c r="E3" s="11" t="s">
        <v>4</v>
      </c>
      <c r="G3" s="2" t="s">
        <v>1</v>
      </c>
      <c r="H3" s="2" t="s">
        <v>35</v>
      </c>
      <c r="I3" s="2" t="s">
        <v>76</v>
      </c>
    </row>
    <row r="4" spans="2:9" x14ac:dyDescent="0.3">
      <c r="B4" s="4" t="s">
        <v>20</v>
      </c>
      <c r="C4" s="4" t="s">
        <v>36</v>
      </c>
      <c r="D4" s="4" t="s">
        <v>7</v>
      </c>
      <c r="E4" s="4">
        <v>23</v>
      </c>
      <c r="G4" s="4" t="s">
        <v>82</v>
      </c>
      <c r="H4" s="4" t="s">
        <v>46</v>
      </c>
      <c r="I4" s="4">
        <f>COUNTIFS(B3:B13,G4,C3:C13,H4)</f>
        <v>2</v>
      </c>
    </row>
    <row r="5" spans="2:9" x14ac:dyDescent="0.3">
      <c r="B5" s="4" t="s">
        <v>23</v>
      </c>
      <c r="C5" s="4" t="s">
        <v>37</v>
      </c>
      <c r="D5" s="4" t="s">
        <v>75</v>
      </c>
      <c r="E5" s="4">
        <v>20</v>
      </c>
    </row>
    <row r="6" spans="2:9" x14ac:dyDescent="0.3">
      <c r="B6" s="4" t="s">
        <v>25</v>
      </c>
      <c r="C6" s="4" t="s">
        <v>38</v>
      </c>
      <c r="D6" s="4" t="s">
        <v>13</v>
      </c>
      <c r="E6" s="4">
        <v>30</v>
      </c>
    </row>
    <row r="7" spans="2:9" x14ac:dyDescent="0.3">
      <c r="B7" s="4" t="s">
        <v>28</v>
      </c>
      <c r="C7" s="4" t="s">
        <v>36</v>
      </c>
      <c r="D7" s="4" t="s">
        <v>7</v>
      </c>
      <c r="E7" s="4">
        <v>40</v>
      </c>
    </row>
    <row r="8" spans="2:9" x14ac:dyDescent="0.3">
      <c r="B8" s="4" t="s">
        <v>28</v>
      </c>
      <c r="C8" s="4" t="s">
        <v>37</v>
      </c>
      <c r="D8" s="4" t="s">
        <v>75</v>
      </c>
      <c r="E8" s="4">
        <v>34</v>
      </c>
    </row>
    <row r="9" spans="2:9" x14ac:dyDescent="0.3">
      <c r="B9" s="4" t="s">
        <v>20</v>
      </c>
      <c r="C9" s="4" t="s">
        <v>38</v>
      </c>
      <c r="D9" s="4" t="s">
        <v>13</v>
      </c>
      <c r="E9" s="4">
        <v>54</v>
      </c>
    </row>
    <row r="10" spans="2:9" x14ac:dyDescent="0.3">
      <c r="B10" s="4" t="s">
        <v>23</v>
      </c>
      <c r="C10" s="4" t="s">
        <v>36</v>
      </c>
      <c r="D10" s="4" t="s">
        <v>7</v>
      </c>
      <c r="E10" s="4">
        <v>30</v>
      </c>
    </row>
    <row r="11" spans="2:9" x14ac:dyDescent="0.3">
      <c r="B11" s="4" t="s">
        <v>25</v>
      </c>
      <c r="C11" s="4" t="s">
        <v>37</v>
      </c>
      <c r="D11" s="4" t="s">
        <v>75</v>
      </c>
      <c r="E11" s="4">
        <v>10</v>
      </c>
    </row>
    <row r="12" spans="2:9" x14ac:dyDescent="0.3">
      <c r="B12" s="4" t="s">
        <v>28</v>
      </c>
      <c r="C12" s="4" t="s">
        <v>38</v>
      </c>
      <c r="D12" s="4" t="s">
        <v>13</v>
      </c>
      <c r="E12" s="4">
        <v>20</v>
      </c>
    </row>
    <row r="13" spans="2:9" x14ac:dyDescent="0.3">
      <c r="B13" s="4" t="s">
        <v>28</v>
      </c>
      <c r="C13" s="4" t="s">
        <v>36</v>
      </c>
      <c r="D13" s="4" t="s">
        <v>7</v>
      </c>
      <c r="E13" s="4">
        <v>25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Vlookup</vt:lpstr>
      <vt:lpstr>Hlookup</vt:lpstr>
      <vt:lpstr>Xlookup</vt:lpstr>
      <vt:lpstr>Filter</vt:lpstr>
      <vt:lpstr>&amp; Formula</vt:lpstr>
      <vt:lpstr>Textjoin</vt:lpstr>
      <vt:lpstr>Sumif</vt:lpstr>
      <vt:lpstr>Sumifs</vt:lpstr>
      <vt:lpstr>Countif</vt:lpstr>
      <vt:lpstr>Countifs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</dc:creator>
  <cp:lastModifiedBy>Sameer Tungaria</cp:lastModifiedBy>
  <dcterms:created xsi:type="dcterms:W3CDTF">2023-08-17T11:42:09Z</dcterms:created>
  <dcterms:modified xsi:type="dcterms:W3CDTF">2026-09-29T10:27:12Z</dcterms:modified>
</cp:coreProperties>
</file>